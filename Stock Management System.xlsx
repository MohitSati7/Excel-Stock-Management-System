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9708"/>
  </bookViews>
  <sheets>
    <sheet name="Stock Management Syste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<sst xmlns="http://schemas.openxmlformats.org/spreadsheetml/2006/main" count="48" uniqueCount="25">
  <si>
    <t>Stock Management System (2026)</t>
  </si>
  <si>
    <t>Stock In</t>
  </si>
  <si>
    <t>Stock Out</t>
  </si>
  <si>
    <t>Stock Available</t>
  </si>
  <si>
    <t>Date</t>
  </si>
  <si>
    <t>Item</t>
  </si>
  <si>
    <t>Qty</t>
  </si>
  <si>
    <t>Price</t>
  </si>
  <si>
    <t>Amount</t>
  </si>
  <si>
    <t>Keyboard</t>
  </si>
  <si>
    <t>Laptop</t>
  </si>
  <si>
    <t>Wireless Mouse</t>
  </si>
  <si>
    <t>Ball Pen</t>
  </si>
  <si>
    <t>USB Flash Drive</t>
  </si>
  <si>
    <t>Monitor</t>
  </si>
  <si>
    <t>External Hard Drive</t>
  </si>
  <si>
    <t>Printer</t>
  </si>
  <si>
    <t>Printer Paper</t>
  </si>
  <si>
    <t>Notebook</t>
  </si>
  <si>
    <t>Office Chair</t>
  </si>
  <si>
    <t>Office Desk</t>
  </si>
  <si>
    <t>Headphones</t>
  </si>
  <si>
    <t>Webcam</t>
  </si>
  <si>
    <t>HDMI Cable</t>
  </si>
  <si>
    <t>Ethernet Cable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</si>
</sst>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  <numFmt numFmtId="181" formatCode="&quot;₹&quot;#,##0.00_);[Red]\(&quot;₹&quot;#,##0.00\)"/>
  </numFmts>
  <fonts count="26">
    <font>
      <sz val="11"/>
      <color theme="1"/>
      <name val="Calibri"/>
      <charset val="134"/>
      <scheme val="minor"/>
    </font>
    <font>
      <b/>
      <sz val="26"/>
      <color theme="0"/>
      <name val="Calibri"/>
      <charset val="134"/>
      <scheme val="minor"/>
    </font>
    <font>
      <b/>
      <sz val="18"/>
      <color theme="0"/>
      <name val="Calibri"/>
      <charset val="134"/>
      <scheme val="minor"/>
    </font>
    <font>
      <b/>
      <sz val="24"/>
      <color theme="0"/>
      <name val="Calibri"/>
      <charset val="134"/>
      <scheme val="minor"/>
    </font>
    <font>
      <b/>
      <sz val="22"/>
      <color theme="1"/>
      <name val="Calibri"/>
      <charset val="134"/>
      <scheme val="minor"/>
    </font>
    <font>
      <sz val="22"/>
      <color theme="1"/>
      <name val="Calibri"/>
      <charset val="134"/>
      <scheme val="minor"/>
    </font>
    <font>
      <b/>
      <sz val="24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theme="4" tint="-0.5"/>
        <bgColor indexed="64"/>
      </patternFill>
    </fill>
    <fill>
      <patternFill patternType="solid">
        <fgColor theme="9" tint="-0.25"/>
        <bgColor indexed="64"/>
      </patternFill>
    </fill>
    <fill>
      <patternFill patternType="solid">
        <fgColor theme="5" tint="-0.2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3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4" borderId="5" applyNumberFormat="0" applyAlignment="0" applyProtection="0">
      <alignment vertical="center"/>
    </xf>
    <xf numFmtId="0" fontId="16" fillId="15" borderId="6" applyNumberFormat="0" applyAlignment="0" applyProtection="0">
      <alignment vertical="center"/>
    </xf>
    <xf numFmtId="0" fontId="17" fillId="15" borderId="5" applyNumberFormat="0" applyAlignment="0" applyProtection="0">
      <alignment vertical="center"/>
    </xf>
    <xf numFmtId="0" fontId="18" fillId="16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180" fontId="5" fillId="9" borderId="1" xfId="0" applyNumberFormat="1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181" fontId="5" fillId="9" borderId="1" xfId="0" applyNumberFormat="1" applyFont="1" applyFill="1" applyBorder="1" applyAlignment="1">
      <alignment horizontal="center" vertical="center"/>
    </xf>
    <xf numFmtId="180" fontId="5" fillId="10" borderId="1" xfId="0" applyNumberFormat="1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181" fontId="5" fillId="10" borderId="1" xfId="0" applyNumberFormat="1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181" fontId="5" fillId="11" borderId="1" xfId="0" applyNumberFormat="1" applyFont="1" applyFill="1" applyBorder="1" applyAlignment="1">
      <alignment horizontal="center" vertical="center"/>
    </xf>
    <xf numFmtId="181" fontId="5" fillId="9" borderId="1" xfId="0" applyNumberFormat="1" applyFont="1" applyFill="1" applyBorder="1" applyAlignment="1">
      <alignment horizontal="center" vertical="center"/>
    </xf>
    <xf numFmtId="181" fontId="5" fillId="10" borderId="1" xfId="0" applyNumberFormat="1" applyFont="1" applyFill="1" applyBorder="1" applyAlignment="1">
      <alignment horizontal="center" vertical="center"/>
    </xf>
    <xf numFmtId="181" fontId="6" fillId="12" borderId="1" xfId="0" applyNumberFormat="1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tabSelected="1" zoomScale="60" zoomScaleNormal="60" zoomScaleSheetLayoutView="60" workbookViewId="0">
      <selection activeCell="J11" sqref="J11"/>
    </sheetView>
  </sheetViews>
  <sheetFormatPr defaultColWidth="10" defaultRowHeight="14.4"/>
  <cols>
    <col min="1" max="1" width="22.8888888888889" customWidth="1"/>
    <col min="2" max="2" width="30.1111111111111" customWidth="1"/>
    <col min="3" max="3" width="12.8888888888889" customWidth="1"/>
    <col min="4" max="4" width="23.4444444444444" customWidth="1"/>
    <col min="5" max="5" width="35.1111111111111" customWidth="1"/>
    <col min="6" max="6" width="22.8888888888889" customWidth="1"/>
    <col min="7" max="7" width="19" customWidth="1"/>
    <col min="8" max="8" width="8.44444444444444" customWidth="1"/>
    <col min="9" max="9" width="23.4444444444444" customWidth="1"/>
    <col min="10" max="10" width="35.1111111111111" customWidth="1"/>
    <col min="11" max="11" width="37.4444444444444" customWidth="1"/>
    <col min="12" max="12" width="12.8888888888889" customWidth="1"/>
    <col min="13" max="13" width="34.5555555555556" customWidth="1"/>
  </cols>
  <sheetData>
    <row r="1" ht="33.6" spans="1:1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ht="23.4" spans="1:13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ht="31.2" spans="1:13">
      <c r="A3" s="4" t="s">
        <v>1</v>
      </c>
      <c r="B3" s="5"/>
      <c r="C3" s="5"/>
      <c r="D3" s="5"/>
      <c r="E3" s="5"/>
      <c r="F3" s="6" t="s">
        <v>2</v>
      </c>
      <c r="G3" s="7"/>
      <c r="H3" s="7"/>
      <c r="I3" s="7"/>
      <c r="J3" s="7"/>
      <c r="K3" s="8" t="s">
        <v>3</v>
      </c>
      <c r="L3" s="9"/>
      <c r="M3" s="9"/>
    </row>
    <row r="4" ht="28.8" spans="1:13">
      <c r="A4" s="10" t="s">
        <v>4</v>
      </c>
      <c r="B4" s="10" t="s">
        <v>5</v>
      </c>
      <c r="C4" s="10" t="s">
        <v>6</v>
      </c>
      <c r="D4" s="10" t="s">
        <v>7</v>
      </c>
      <c r="E4" s="10" t="s">
        <v>8</v>
      </c>
      <c r="F4" s="11" t="s">
        <v>4</v>
      </c>
      <c r="G4" s="11" t="s">
        <v>5</v>
      </c>
      <c r="H4" s="11" t="s">
        <v>6</v>
      </c>
      <c r="I4" s="11" t="s">
        <v>7</v>
      </c>
      <c r="J4" s="11" t="s">
        <v>8</v>
      </c>
      <c r="K4" s="12" t="s">
        <v>5</v>
      </c>
      <c r="L4" s="12" t="s">
        <v>6</v>
      </c>
      <c r="M4" s="12" t="s">
        <v>8</v>
      </c>
    </row>
    <row r="5" ht="28.8" spans="1:13">
      <c r="A5" s="13">
        <v>46087</v>
      </c>
      <c r="B5" s="14" t="s">
        <v>9</v>
      </c>
      <c r="C5" s="15">
        <v>500</v>
      </c>
      <c r="D5" s="16">
        <v>365</v>
      </c>
      <c r="E5" s="16">
        <f>C5*D5</f>
        <v>182500</v>
      </c>
      <c r="F5" s="17">
        <v>46087</v>
      </c>
      <c r="G5" s="18" t="s">
        <v>9</v>
      </c>
      <c r="H5" s="19">
        <v>250</v>
      </c>
      <c r="I5" s="20">
        <v>450</v>
      </c>
      <c r="J5" s="20">
        <f>H5*I5</f>
        <v>112500</v>
      </c>
      <c r="K5" s="21" t="s">
        <v>10</v>
      </c>
      <c r="L5" s="22">
        <f>SUMIF($B$5:$B$20,K5,$C$5:$C$20)-SUMIF($G$5:$G$20,K5,$H$5:$H$20)</f>
        <v>200</v>
      </c>
      <c r="M5" s="23">
        <f>SUMIF($B$5:$B$20,K5,$E$5:$E$20)-SUMIF($G$5:$G$20,K5,$J$5:$J$20)</f>
        <v>-10000000</v>
      </c>
    </row>
    <row r="6" ht="28.8" spans="1:13">
      <c r="A6" s="13">
        <v>46087</v>
      </c>
      <c r="B6" s="14" t="s">
        <v>10</v>
      </c>
      <c r="C6" s="15">
        <v>600</v>
      </c>
      <c r="D6" s="16">
        <v>25000</v>
      </c>
      <c r="E6" s="16">
        <f t="shared" ref="E6:E20" si="0">C6*D6</f>
        <v>15000000</v>
      </c>
      <c r="F6" s="17">
        <v>46087</v>
      </c>
      <c r="G6" s="18" t="s">
        <v>10</v>
      </c>
      <c r="H6" s="19">
        <v>400</v>
      </c>
      <c r="I6" s="20">
        <v>50000</v>
      </c>
      <c r="J6" s="20">
        <f t="shared" ref="J6:J20" si="1">H6*I6</f>
        <v>20000000</v>
      </c>
      <c r="K6" s="21" t="s">
        <v>11</v>
      </c>
      <c r="L6" s="22">
        <f t="shared" ref="L6:L20" si="2">SUMIF($B$5:$B$20,K6,$C$5:$C$20)-SUMIF($G$5:$G$20,K6,$H$5:$H$20)</f>
        <v>11</v>
      </c>
      <c r="M6" s="23">
        <f t="shared" ref="M6:M20" si="3">SUMIF($B$5:$B$20,K6,$E$5:$E$20)-SUMIF($G$5:$G$20,K6,$J$5:$J$20)</f>
        <v>-75600</v>
      </c>
    </row>
    <row r="7" ht="28.8" spans="1:13">
      <c r="A7" s="13">
        <v>46088</v>
      </c>
      <c r="B7" s="14" t="s">
        <v>12</v>
      </c>
      <c r="C7" s="15">
        <v>10000</v>
      </c>
      <c r="D7" s="16">
        <v>5</v>
      </c>
      <c r="E7" s="16">
        <f t="shared" si="0"/>
        <v>50000</v>
      </c>
      <c r="F7" s="17">
        <v>46088</v>
      </c>
      <c r="G7" s="18" t="s">
        <v>9</v>
      </c>
      <c r="H7" s="19">
        <v>200</v>
      </c>
      <c r="I7" s="20">
        <v>450</v>
      </c>
      <c r="J7" s="20">
        <f t="shared" si="1"/>
        <v>90000</v>
      </c>
      <c r="K7" s="21" t="s">
        <v>9</v>
      </c>
      <c r="L7" s="22">
        <f t="shared" si="2"/>
        <v>400</v>
      </c>
      <c r="M7" s="23">
        <f t="shared" si="3"/>
        <v>197500</v>
      </c>
    </row>
    <row r="8" ht="28.8" spans="1:13">
      <c r="A8" s="13">
        <v>46089</v>
      </c>
      <c r="B8" s="14" t="s">
        <v>13</v>
      </c>
      <c r="C8" s="15">
        <v>700</v>
      </c>
      <c r="D8" s="16">
        <v>600</v>
      </c>
      <c r="E8" s="16">
        <f t="shared" si="0"/>
        <v>420000</v>
      </c>
      <c r="F8" s="17">
        <v>46088</v>
      </c>
      <c r="G8" s="18" t="s">
        <v>10</v>
      </c>
      <c r="H8" s="19">
        <v>200</v>
      </c>
      <c r="I8" s="20">
        <v>50000</v>
      </c>
      <c r="J8" s="20">
        <f t="shared" si="1"/>
        <v>10000000</v>
      </c>
      <c r="K8" s="21" t="s">
        <v>14</v>
      </c>
      <c r="L8" s="22">
        <f t="shared" si="2"/>
        <v>0</v>
      </c>
      <c r="M8" s="23">
        <f t="shared" si="3"/>
        <v>0</v>
      </c>
    </row>
    <row r="9" ht="28.8" spans="1:13">
      <c r="A9" s="13">
        <v>46089</v>
      </c>
      <c r="B9" s="14" t="s">
        <v>10</v>
      </c>
      <c r="C9" s="15">
        <v>200</v>
      </c>
      <c r="D9" s="24">
        <v>25000</v>
      </c>
      <c r="E9" s="16">
        <f t="shared" si="0"/>
        <v>5000000</v>
      </c>
      <c r="F9" s="17">
        <v>46089</v>
      </c>
      <c r="G9" s="18" t="s">
        <v>9</v>
      </c>
      <c r="H9" s="19">
        <v>50</v>
      </c>
      <c r="I9" s="20">
        <v>450</v>
      </c>
      <c r="J9" s="20">
        <f t="shared" si="1"/>
        <v>22500</v>
      </c>
      <c r="K9" s="21" t="s">
        <v>13</v>
      </c>
      <c r="L9" s="22">
        <f t="shared" si="2"/>
        <v>100</v>
      </c>
      <c r="M9" s="23">
        <f t="shared" si="3"/>
        <v>-30000</v>
      </c>
    </row>
    <row r="10" ht="28.8" spans="1:13">
      <c r="A10" s="13">
        <v>46090</v>
      </c>
      <c r="B10" s="14" t="s">
        <v>11</v>
      </c>
      <c r="C10" s="15">
        <v>400</v>
      </c>
      <c r="D10" s="24">
        <v>200</v>
      </c>
      <c r="E10" s="16">
        <f t="shared" si="0"/>
        <v>80000</v>
      </c>
      <c r="F10" s="17">
        <v>46090</v>
      </c>
      <c r="G10" s="18" t="s">
        <v>11</v>
      </c>
      <c r="H10" s="19">
        <v>389</v>
      </c>
      <c r="I10" s="20">
        <v>400</v>
      </c>
      <c r="J10" s="20">
        <f t="shared" si="1"/>
        <v>155600</v>
      </c>
      <c r="K10" s="21" t="s">
        <v>15</v>
      </c>
      <c r="L10" s="22">
        <f t="shared" si="2"/>
        <v>0</v>
      </c>
      <c r="M10" s="23">
        <f t="shared" si="3"/>
        <v>0</v>
      </c>
    </row>
    <row r="11" ht="28.8" spans="1:13">
      <c r="A11" s="13">
        <v>46091</v>
      </c>
      <c r="B11" s="14" t="s">
        <v>9</v>
      </c>
      <c r="C11" s="15">
        <v>400</v>
      </c>
      <c r="D11" s="24">
        <v>600</v>
      </c>
      <c r="E11" s="16">
        <f t="shared" si="0"/>
        <v>240000</v>
      </c>
      <c r="F11" s="17">
        <v>46090</v>
      </c>
      <c r="G11" s="18" t="s">
        <v>13</v>
      </c>
      <c r="H11" s="19">
        <v>600</v>
      </c>
      <c r="I11" s="25">
        <v>750</v>
      </c>
      <c r="J11" s="20">
        <f t="shared" si="1"/>
        <v>450000</v>
      </c>
      <c r="K11" s="21" t="s">
        <v>16</v>
      </c>
      <c r="L11" s="22">
        <f t="shared" si="2"/>
        <v>0</v>
      </c>
      <c r="M11" s="23">
        <f t="shared" si="3"/>
        <v>0</v>
      </c>
    </row>
    <row r="12" ht="28.8" spans="1:13">
      <c r="A12" s="15"/>
      <c r="B12" s="14"/>
      <c r="C12" s="15"/>
      <c r="D12" s="24"/>
      <c r="E12" s="16">
        <f t="shared" si="0"/>
        <v>0</v>
      </c>
      <c r="F12" s="17">
        <v>46091</v>
      </c>
      <c r="G12" s="18" t="s">
        <v>12</v>
      </c>
      <c r="H12" s="19">
        <v>10</v>
      </c>
      <c r="I12" s="25">
        <v>10</v>
      </c>
      <c r="J12" s="20">
        <f t="shared" si="1"/>
        <v>100</v>
      </c>
      <c r="K12" s="21" t="s">
        <v>17</v>
      </c>
      <c r="L12" s="22">
        <f t="shared" si="2"/>
        <v>0</v>
      </c>
      <c r="M12" s="23">
        <f t="shared" si="3"/>
        <v>0</v>
      </c>
    </row>
    <row r="13" ht="28.8" spans="1:13">
      <c r="A13" s="15"/>
      <c r="B13" s="14"/>
      <c r="C13" s="15"/>
      <c r="D13" s="24"/>
      <c r="E13" s="16">
        <f t="shared" si="0"/>
        <v>0</v>
      </c>
      <c r="F13" s="19"/>
      <c r="G13" s="18"/>
      <c r="H13" s="19"/>
      <c r="I13" s="25"/>
      <c r="J13" s="20">
        <f t="shared" si="1"/>
        <v>0</v>
      </c>
      <c r="K13" s="21" t="s">
        <v>12</v>
      </c>
      <c r="L13" s="22">
        <f t="shared" si="2"/>
        <v>9990</v>
      </c>
      <c r="M13" s="23">
        <f t="shared" si="3"/>
        <v>49900</v>
      </c>
    </row>
    <row r="14" ht="28.8" spans="1:13">
      <c r="A14" s="15"/>
      <c r="B14" s="14"/>
      <c r="C14" s="15"/>
      <c r="D14" s="24"/>
      <c r="E14" s="16">
        <f t="shared" si="0"/>
        <v>0</v>
      </c>
      <c r="F14" s="19"/>
      <c r="G14" s="18"/>
      <c r="H14" s="19"/>
      <c r="I14" s="25"/>
      <c r="J14" s="20">
        <f t="shared" si="1"/>
        <v>0</v>
      </c>
      <c r="K14" s="21" t="s">
        <v>18</v>
      </c>
      <c r="L14" s="22">
        <f t="shared" si="2"/>
        <v>0</v>
      </c>
      <c r="M14" s="23">
        <f t="shared" si="3"/>
        <v>0</v>
      </c>
    </row>
    <row r="15" ht="28.8" spans="1:13">
      <c r="A15" s="15"/>
      <c r="B15" s="14"/>
      <c r="C15" s="15"/>
      <c r="D15" s="24"/>
      <c r="E15" s="16">
        <f t="shared" si="0"/>
        <v>0</v>
      </c>
      <c r="F15" s="19"/>
      <c r="G15" s="18"/>
      <c r="H15" s="19"/>
      <c r="I15" s="25"/>
      <c r="J15" s="20">
        <f t="shared" si="1"/>
        <v>0</v>
      </c>
      <c r="K15" s="21" t="s">
        <v>19</v>
      </c>
      <c r="L15" s="22">
        <f t="shared" si="2"/>
        <v>0</v>
      </c>
      <c r="M15" s="23">
        <f t="shared" si="3"/>
        <v>0</v>
      </c>
    </row>
    <row r="16" ht="28.8" spans="1:13">
      <c r="A16" s="15"/>
      <c r="B16" s="14"/>
      <c r="C16" s="15"/>
      <c r="D16" s="24"/>
      <c r="E16" s="16">
        <f t="shared" si="0"/>
        <v>0</v>
      </c>
      <c r="F16" s="19"/>
      <c r="G16" s="18"/>
      <c r="H16" s="19"/>
      <c r="I16" s="25"/>
      <c r="J16" s="20">
        <f t="shared" si="1"/>
        <v>0</v>
      </c>
      <c r="K16" s="21" t="s">
        <v>20</v>
      </c>
      <c r="L16" s="22">
        <f t="shared" si="2"/>
        <v>0</v>
      </c>
      <c r="M16" s="23">
        <f t="shared" si="3"/>
        <v>0</v>
      </c>
    </row>
    <row r="17" ht="28.8" spans="1:13">
      <c r="A17" s="15"/>
      <c r="B17" s="14"/>
      <c r="C17" s="15"/>
      <c r="D17" s="24"/>
      <c r="E17" s="16">
        <f t="shared" si="0"/>
        <v>0</v>
      </c>
      <c r="F17" s="19"/>
      <c r="G17" s="18"/>
      <c r="H17" s="19"/>
      <c r="I17" s="25"/>
      <c r="J17" s="20">
        <f t="shared" si="1"/>
        <v>0</v>
      </c>
      <c r="K17" s="21" t="s">
        <v>21</v>
      </c>
      <c r="L17" s="22">
        <f t="shared" si="2"/>
        <v>0</v>
      </c>
      <c r="M17" s="23">
        <f t="shared" si="3"/>
        <v>0</v>
      </c>
    </row>
    <row r="18" ht="28.8" spans="1:13">
      <c r="A18" s="15"/>
      <c r="B18" s="14"/>
      <c r="C18" s="15"/>
      <c r="D18" s="24"/>
      <c r="E18" s="16">
        <f t="shared" si="0"/>
        <v>0</v>
      </c>
      <c r="F18" s="19"/>
      <c r="G18" s="18"/>
      <c r="H18" s="19"/>
      <c r="I18" s="25"/>
      <c r="J18" s="20">
        <f t="shared" si="1"/>
        <v>0</v>
      </c>
      <c r="K18" s="21" t="s">
        <v>22</v>
      </c>
      <c r="L18" s="22">
        <f t="shared" si="2"/>
        <v>0</v>
      </c>
      <c r="M18" s="23">
        <f t="shared" si="3"/>
        <v>0</v>
      </c>
    </row>
    <row r="19" ht="28.8" spans="1:13">
      <c r="A19" s="15"/>
      <c r="B19" s="14"/>
      <c r="C19" s="15"/>
      <c r="D19" s="24"/>
      <c r="E19" s="16">
        <f t="shared" si="0"/>
        <v>0</v>
      </c>
      <c r="F19" s="19"/>
      <c r="G19" s="18"/>
      <c r="H19" s="19"/>
      <c r="I19" s="25"/>
      <c r="J19" s="20">
        <f t="shared" si="1"/>
        <v>0</v>
      </c>
      <c r="K19" s="21" t="s">
        <v>23</v>
      </c>
      <c r="L19" s="22">
        <f t="shared" si="2"/>
        <v>0</v>
      </c>
      <c r="M19" s="23">
        <f t="shared" si="3"/>
        <v>0</v>
      </c>
    </row>
    <row r="20" ht="28.8" spans="1:13">
      <c r="A20" s="15"/>
      <c r="B20" s="14"/>
      <c r="C20" s="15"/>
      <c r="D20" s="24"/>
      <c r="E20" s="16">
        <f t="shared" si="0"/>
        <v>0</v>
      </c>
      <c r="F20" s="19"/>
      <c r="G20" s="18"/>
      <c r="H20" s="19"/>
      <c r="I20" s="25"/>
      <c r="J20" s="20">
        <f t="shared" si="1"/>
        <v>0</v>
      </c>
      <c r="K20" s="21" t="s">
        <v>24</v>
      </c>
      <c r="L20" s="22">
        <f t="shared" si="2"/>
        <v>0</v>
      </c>
      <c r="M20" s="23">
        <f t="shared" si="3"/>
        <v>0</v>
      </c>
    </row>
    <row r="21" ht="32" customHeight="1" spans="1:13">
      <c r="E21" s="26">
        <f>SUM(E5:E20)</f>
        <v>20972500</v>
      </c>
      <c r="J21" s="26">
        <f>SUM(J5:J20)</f>
        <v>30830700</v>
      </c>
    </row>
  </sheetData>
  <mergeCells count="5">
    <mergeCell ref="A1:M1"/>
    <mergeCell ref="A2:M2"/>
    <mergeCell ref="A3:E3"/>
    <mergeCell ref="F3:J3"/>
    <mergeCell ref="K3:M3"/>
  </mergeCells>
  <dataValidations count="1">
    <dataValidation type="list" allowBlank="1" showInputMessage="1" showErrorMessage="1" sqref="B5:B20 G5:G20">
      <formula1>$K$5:$K$20</formula1>
    </dataValidation>
  </dataValidations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Stock Management System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Mohit. p. s.</cp:lastModifiedBy>
  <dcterms:created xsi:type="dcterms:W3CDTF">2026-10-15T14:36:50Z</dcterms:created>
  <dcterms:modified xsi:type="dcterms:W3CDTF">2026-10-15T15:14:11Z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BACF88D980D349CC9B717F137933CC63_13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